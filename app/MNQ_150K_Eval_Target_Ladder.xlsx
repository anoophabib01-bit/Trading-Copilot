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Ladder" sheetId="1" state="visible" r:id="rId1"/>
    <sheet xmlns:r="http://schemas.openxmlformats.org/officeDocument/2006/relationships" name="Rules &amp;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  <sz val="11"/>
    </font>
    <font>
      <i val="1"/>
      <color rgb="00595959"/>
    </font>
    <font>
      <i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1" pivotButton="0" quotePrefix="0" xfId="0"/>
    <xf numFmtId="3" fontId="0" fillId="4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5" borderId="1" pivotButton="0" quotePrefix="0" xfId="0"/>
    <xf numFmtId="3" fontId="0" fillId="5" borderId="1" applyAlignment="1" pivotButton="0" quotePrefix="0" xfId="0">
      <alignment horizontal="right"/>
    </xf>
    <xf numFmtId="0" fontId="0" fillId="6" borderId="1" pivotButton="0" quotePrefix="0" xfId="0"/>
    <xf numFmtId="3" fontId="0" fillId="6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3" customWidth="1" min="7" max="7"/>
    <col width="12" customWidth="1" min="8" max="8"/>
    <col width="14" customWidth="1" min="9" max="9"/>
    <col width="13" customWidth="1" min="10" max="10"/>
    <col width="14" customWidth="1" min="11" max="11"/>
    <col width="40" customWidth="1" min="12" max="12"/>
  </cols>
  <sheetData>
    <row r="1">
      <c r="A1" s="1" t="inlineStr">
        <is>
          <t>MNQ $150K LucidFlex Eval — Target Ladder (Balanced path, +$700 net/day)</t>
        </is>
      </c>
    </row>
    <row r="2">
      <c r="A2" s="2" t="inlineStr">
        <is>
          <t>Start $150,000 | Target $159,000 (+$9,000) | EOD-trailing MLL $4,500 | Consistency 50% | No DLL, no min days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Planned Net</t>
        </is>
      </c>
      <c r="D4" s="3" t="inlineStr">
        <is>
          <t>Plan Cum P&amp;L</t>
        </is>
      </c>
      <c r="E4" s="3" t="inlineStr">
        <is>
          <t>Plan Balance</t>
        </is>
      </c>
      <c r="F4" s="3" t="inlineStr">
        <is>
          <t>Plan MLL Floor</t>
        </is>
      </c>
      <c r="G4" s="3" t="inlineStr">
        <is>
          <t>Plan Cushion</t>
        </is>
      </c>
      <c r="H4" s="3" t="inlineStr">
        <is>
          <t>ACTUAL Net</t>
        </is>
      </c>
      <c r="I4" s="3" t="inlineStr">
        <is>
          <t>Actual Balance</t>
        </is>
      </c>
      <c r="J4" s="3" t="inlineStr">
        <is>
          <t>Actual Floor</t>
        </is>
      </c>
      <c r="K4" s="3" t="inlineStr">
        <is>
          <t>Actual Cushion</t>
        </is>
      </c>
      <c r="L4" s="3" t="inlineStr">
        <is>
          <t>Notes</t>
        </is>
      </c>
    </row>
    <row r="5">
      <c r="A5" s="4" t="inlineStr">
        <is>
          <t>Now</t>
        </is>
      </c>
      <c r="B5" s="4" t="inlineStr"/>
      <c r="C5" s="5" t="n"/>
      <c r="D5" s="5" t="n">
        <v>-1067</v>
      </c>
      <c r="E5" s="5" t="n">
        <v>148932</v>
      </c>
      <c r="F5" s="5" t="n">
        <v>145500</v>
      </c>
      <c r="G5" s="5" t="n">
        <v>3432</v>
      </c>
      <c r="H5" s="5" t="n"/>
      <c r="I5" s="5" t="n">
        <v>148932</v>
      </c>
      <c r="J5" s="5">
        <f>MIN(150100,MAX(145500,I5-4500))</f>
        <v/>
      </c>
      <c r="K5" s="5">
        <f>IF(I5="","",I5-J5)</f>
        <v/>
      </c>
      <c r="L5" s="4" t="inlineStr">
        <is>
          <t>You are here</t>
        </is>
      </c>
    </row>
    <row r="6">
      <c r="A6" s="6" t="inlineStr">
        <is>
          <t>Day 1</t>
        </is>
      </c>
      <c r="B6" s="6" t="inlineStr"/>
      <c r="C6" s="7" t="n">
        <v>700</v>
      </c>
      <c r="D6" s="7" t="n">
        <v>-367</v>
      </c>
      <c r="E6" s="7" t="n">
        <v>149632</v>
      </c>
      <c r="F6" s="7" t="n">
        <v>145500</v>
      </c>
      <c r="G6" s="7" t="n">
        <v>4132</v>
      </c>
      <c r="H6" s="8" t="n"/>
      <c r="I6" s="8">
        <f>IF(H6="","",I5+H6)</f>
        <v/>
      </c>
      <c r="J6" s="8">
        <f>IF(I6="","",MIN(150100,MAX(J5,I6-4500)))</f>
        <v/>
      </c>
      <c r="K6" s="8">
        <f>IF(I6="","",I6-J6)</f>
        <v/>
      </c>
      <c r="L6" s="6" t="n"/>
    </row>
    <row r="7">
      <c r="A7" s="6" t="inlineStr">
        <is>
          <t>Day 2</t>
        </is>
      </c>
      <c r="B7" s="6" t="inlineStr"/>
      <c r="C7" s="7" t="n">
        <v>700</v>
      </c>
      <c r="D7" s="7" t="n">
        <v>333</v>
      </c>
      <c r="E7" s="7" t="n">
        <v>150332</v>
      </c>
      <c r="F7" s="7" t="n">
        <v>145832</v>
      </c>
      <c r="G7" s="7" t="n">
        <v>4500</v>
      </c>
      <c r="H7" s="8" t="n"/>
      <c r="I7" s="8">
        <f>IF(H7="","",I6+H7)</f>
        <v/>
      </c>
      <c r="J7" s="8">
        <f>IF(I7="","",MIN(150100,MAX(J6,I7-4500)))</f>
        <v/>
      </c>
      <c r="K7" s="8">
        <f>IF(I7="","",I7-J7)</f>
        <v/>
      </c>
      <c r="L7" s="6" t="n"/>
    </row>
    <row r="8">
      <c r="A8" s="6" t="inlineStr">
        <is>
          <t>Day 3</t>
        </is>
      </c>
      <c r="B8" s="6" t="inlineStr"/>
      <c r="C8" s="7" t="n">
        <v>700</v>
      </c>
      <c r="D8" s="7" t="n">
        <v>1033</v>
      </c>
      <c r="E8" s="7" t="n">
        <v>151032</v>
      </c>
      <c r="F8" s="7" t="n">
        <v>146532</v>
      </c>
      <c r="G8" s="7" t="n">
        <v>4500</v>
      </c>
      <c r="H8" s="8" t="n"/>
      <c r="I8" s="8">
        <f>IF(H8="","",I7+H8)</f>
        <v/>
      </c>
      <c r="J8" s="8">
        <f>IF(I8="","",MIN(150100,MAX(J7,I8-4500)))</f>
        <v/>
      </c>
      <c r="K8" s="8">
        <f>IF(I8="","",I8-J8)</f>
        <v/>
      </c>
      <c r="L8" s="6" t="n"/>
    </row>
    <row r="9">
      <c r="A9" s="6" t="inlineStr">
        <is>
          <t>Day 4</t>
        </is>
      </c>
      <c r="B9" s="6" t="inlineStr"/>
      <c r="C9" s="7" t="n">
        <v>700</v>
      </c>
      <c r="D9" s="7" t="n">
        <v>1733</v>
      </c>
      <c r="E9" s="7" t="n">
        <v>151732</v>
      </c>
      <c r="F9" s="7" t="n">
        <v>147232</v>
      </c>
      <c r="G9" s="7" t="n">
        <v>4500</v>
      </c>
      <c r="H9" s="8" t="n"/>
      <c r="I9" s="8">
        <f>IF(H9="","",I8+H9)</f>
        <v/>
      </c>
      <c r="J9" s="8">
        <f>IF(I9="","",MIN(150100,MAX(J8,I9-4500)))</f>
        <v/>
      </c>
      <c r="K9" s="8">
        <f>IF(I9="","",I9-J9)</f>
        <v/>
      </c>
      <c r="L9" s="6" t="n"/>
    </row>
    <row r="10">
      <c r="A10" s="6" t="inlineStr">
        <is>
          <t>Day 5</t>
        </is>
      </c>
      <c r="B10" s="6" t="inlineStr"/>
      <c r="C10" s="7" t="n">
        <v>700</v>
      </c>
      <c r="D10" s="7" t="n">
        <v>2433</v>
      </c>
      <c r="E10" s="7" t="n">
        <v>152432</v>
      </c>
      <c r="F10" s="7" t="n">
        <v>147932</v>
      </c>
      <c r="G10" s="7" t="n">
        <v>4500</v>
      </c>
      <c r="H10" s="8" t="n"/>
      <c r="I10" s="8">
        <f>IF(H10="","",I9+H10)</f>
        <v/>
      </c>
      <c r="J10" s="8">
        <f>IF(I10="","",MIN(150100,MAX(J9,I10-4500)))</f>
        <v/>
      </c>
      <c r="K10" s="8">
        <f>IF(I10="","",I10-J10)</f>
        <v/>
      </c>
      <c r="L10" s="6" t="n"/>
    </row>
    <row r="11">
      <c r="A11" s="6" t="inlineStr">
        <is>
          <t>Day 6</t>
        </is>
      </c>
      <c r="B11" s="6" t="inlineStr"/>
      <c r="C11" s="7" t="n">
        <v>700</v>
      </c>
      <c r="D11" s="7" t="n">
        <v>3133</v>
      </c>
      <c r="E11" s="7" t="n">
        <v>153132</v>
      </c>
      <c r="F11" s="7" t="n">
        <v>148632</v>
      </c>
      <c r="G11" s="7" t="n">
        <v>4500</v>
      </c>
      <c r="H11" s="8" t="n"/>
      <c r="I11" s="8">
        <f>IF(H11="","",I10+H11)</f>
        <v/>
      </c>
      <c r="J11" s="8">
        <f>IF(I11="","",MIN(150100,MAX(J10,I11-4500)))</f>
        <v/>
      </c>
      <c r="K11" s="8">
        <f>IF(I11="","",I11-J11)</f>
        <v/>
      </c>
      <c r="L11" s="6" t="n"/>
    </row>
    <row r="12">
      <c r="A12" s="6" t="inlineStr">
        <is>
          <t>Day 7</t>
        </is>
      </c>
      <c r="B12" s="6" t="inlineStr"/>
      <c r="C12" s="7" t="n">
        <v>700</v>
      </c>
      <c r="D12" s="7" t="n">
        <v>3833</v>
      </c>
      <c r="E12" s="7" t="n">
        <v>153832</v>
      </c>
      <c r="F12" s="7" t="n">
        <v>149332</v>
      </c>
      <c r="G12" s="7" t="n">
        <v>4500</v>
      </c>
      <c r="H12" s="8" t="n"/>
      <c r="I12" s="8">
        <f>IF(H12="","",I11+H12)</f>
        <v/>
      </c>
      <c r="J12" s="8">
        <f>IF(I12="","",MIN(150100,MAX(J11,I12-4500)))</f>
        <v/>
      </c>
      <c r="K12" s="8">
        <f>IF(I12="","",I12-J12)</f>
        <v/>
      </c>
      <c r="L12" s="6" t="n"/>
    </row>
    <row r="13">
      <c r="A13" s="6" t="inlineStr">
        <is>
          <t>Day 8</t>
        </is>
      </c>
      <c r="B13" s="6" t="inlineStr"/>
      <c r="C13" s="7" t="n">
        <v>700</v>
      </c>
      <c r="D13" s="7" t="n">
        <v>4533</v>
      </c>
      <c r="E13" s="7" t="n">
        <v>154532</v>
      </c>
      <c r="F13" s="7" t="n">
        <v>150032</v>
      </c>
      <c r="G13" s="7" t="n">
        <v>4500</v>
      </c>
      <c r="H13" s="8" t="n"/>
      <c r="I13" s="8">
        <f>IF(H13="","",I12+H13)</f>
        <v/>
      </c>
      <c r="J13" s="8">
        <f>IF(I13="","",MIN(150100,MAX(J12,I13-4500)))</f>
        <v/>
      </c>
      <c r="K13" s="8">
        <f>IF(I13="","",I13-J13)</f>
        <v/>
      </c>
      <c r="L13" s="6" t="n"/>
    </row>
    <row r="14">
      <c r="A14" s="9" t="inlineStr">
        <is>
          <t>Day 9</t>
        </is>
      </c>
      <c r="B14" s="9" t="inlineStr"/>
      <c r="C14" s="10" t="n">
        <v>700</v>
      </c>
      <c r="D14" s="10" t="n">
        <v>5233</v>
      </c>
      <c r="E14" s="10" t="n">
        <v>155232</v>
      </c>
      <c r="F14" s="10" t="n">
        <v>150100</v>
      </c>
      <c r="G14" s="10" t="n">
        <v>5132</v>
      </c>
      <c r="H14" s="10" t="n"/>
      <c r="I14" s="10">
        <f>IF(H14="","",I13+H14)</f>
        <v/>
      </c>
      <c r="J14" s="10">
        <f>IF(I14="","",MIN(150100,MAX(J13,I14-4500)))</f>
        <v/>
      </c>
      <c r="K14" s="10">
        <f>IF(I14="","",I14-J14)</f>
        <v/>
      </c>
      <c r="L14" s="9" t="inlineStr">
        <is>
          <t>Floor LOCKS at $150,100 — cushion stops tightening</t>
        </is>
      </c>
    </row>
    <row r="15">
      <c r="A15" s="6" t="inlineStr">
        <is>
          <t>Day 10</t>
        </is>
      </c>
      <c r="B15" s="6" t="inlineStr"/>
      <c r="C15" s="7" t="n">
        <v>700</v>
      </c>
      <c r="D15" s="7" t="n">
        <v>5933</v>
      </c>
      <c r="E15" s="7" t="n">
        <v>155932</v>
      </c>
      <c r="F15" s="7" t="n">
        <v>150100</v>
      </c>
      <c r="G15" s="7" t="n">
        <v>5832</v>
      </c>
      <c r="H15" s="8" t="n"/>
      <c r="I15" s="8">
        <f>IF(H15="","",I14+H15)</f>
        <v/>
      </c>
      <c r="J15" s="8">
        <f>IF(I15="","",MIN(150100,MAX(J14,I15-4500)))</f>
        <v/>
      </c>
      <c r="K15" s="8">
        <f>IF(I15="","",I15-J15)</f>
        <v/>
      </c>
      <c r="L15" s="6" t="n"/>
    </row>
    <row r="16">
      <c r="A16" s="6" t="inlineStr">
        <is>
          <t>Day 11</t>
        </is>
      </c>
      <c r="B16" s="6" t="inlineStr"/>
      <c r="C16" s="7" t="n">
        <v>700</v>
      </c>
      <c r="D16" s="7" t="n">
        <v>6633</v>
      </c>
      <c r="E16" s="7" t="n">
        <v>156632</v>
      </c>
      <c r="F16" s="7" t="n">
        <v>150100</v>
      </c>
      <c r="G16" s="7" t="n">
        <v>6532</v>
      </c>
      <c r="H16" s="8" t="n"/>
      <c r="I16" s="8">
        <f>IF(H16="","",I15+H16)</f>
        <v/>
      </c>
      <c r="J16" s="8">
        <f>IF(I16="","",MIN(150100,MAX(J15,I16-4500)))</f>
        <v/>
      </c>
      <c r="K16" s="8">
        <f>IF(I16="","",I16-J16)</f>
        <v/>
      </c>
      <c r="L16" s="6" t="n"/>
    </row>
    <row r="17">
      <c r="A17" s="6" t="inlineStr">
        <is>
          <t>Day 12</t>
        </is>
      </c>
      <c r="B17" s="6" t="inlineStr"/>
      <c r="C17" s="7" t="n">
        <v>700</v>
      </c>
      <c r="D17" s="7" t="n">
        <v>7333</v>
      </c>
      <c r="E17" s="7" t="n">
        <v>157332</v>
      </c>
      <c r="F17" s="7" t="n">
        <v>150100</v>
      </c>
      <c r="G17" s="7" t="n">
        <v>7232</v>
      </c>
      <c r="H17" s="8" t="n"/>
      <c r="I17" s="8">
        <f>IF(H17="","",I16+H17)</f>
        <v/>
      </c>
      <c r="J17" s="8">
        <f>IF(I17="","",MIN(150100,MAX(J16,I17-4500)))</f>
        <v/>
      </c>
      <c r="K17" s="8">
        <f>IF(I17="","",I17-J17)</f>
        <v/>
      </c>
      <c r="L17" s="6" t="n"/>
    </row>
    <row r="18">
      <c r="A18" s="6" t="inlineStr">
        <is>
          <t>Day 13</t>
        </is>
      </c>
      <c r="B18" s="6" t="inlineStr"/>
      <c r="C18" s="7" t="n">
        <v>700</v>
      </c>
      <c r="D18" s="7" t="n">
        <v>8033</v>
      </c>
      <c r="E18" s="7" t="n">
        <v>158032</v>
      </c>
      <c r="F18" s="7" t="n">
        <v>150100</v>
      </c>
      <c r="G18" s="7" t="n">
        <v>7932</v>
      </c>
      <c r="H18" s="8" t="n"/>
      <c r="I18" s="8">
        <f>IF(H18="","",I17+H18)</f>
        <v/>
      </c>
      <c r="J18" s="8">
        <f>IF(I18="","",MIN(150100,MAX(J17,I18-4500)))</f>
        <v/>
      </c>
      <c r="K18" s="8">
        <f>IF(I18="","",I18-J18)</f>
        <v/>
      </c>
      <c r="L18" s="6" t="n"/>
    </row>
    <row r="19">
      <c r="A19" s="6" t="inlineStr">
        <is>
          <t>Day 14</t>
        </is>
      </c>
      <c r="B19" s="6" t="inlineStr"/>
      <c r="C19" s="7" t="n">
        <v>700</v>
      </c>
      <c r="D19" s="7" t="n">
        <v>8733</v>
      </c>
      <c r="E19" s="7" t="n">
        <v>158732</v>
      </c>
      <c r="F19" s="7" t="n">
        <v>150100</v>
      </c>
      <c r="G19" s="7" t="n">
        <v>8632</v>
      </c>
      <c r="H19" s="8" t="n"/>
      <c r="I19" s="8">
        <f>IF(H19="","",I18+H19)</f>
        <v/>
      </c>
      <c r="J19" s="8">
        <f>IF(I19="","",MIN(150100,MAX(J18,I19-4500)))</f>
        <v/>
      </c>
      <c r="K19" s="8">
        <f>IF(I19="","",I19-J19)</f>
        <v/>
      </c>
      <c r="L19" s="6" t="n"/>
    </row>
    <row r="20">
      <c r="A20" s="11" t="inlineStr">
        <is>
          <t>Day 15</t>
        </is>
      </c>
      <c r="B20" s="11" t="inlineStr"/>
      <c r="C20" s="12" t="n">
        <v>700</v>
      </c>
      <c r="D20" s="12" t="n">
        <v>9433</v>
      </c>
      <c r="E20" s="12" t="n">
        <v>159432</v>
      </c>
      <c r="F20" s="12" t="n">
        <v>150100</v>
      </c>
      <c r="G20" s="12" t="n">
        <v>9332</v>
      </c>
      <c r="H20" s="12" t="n"/>
      <c r="I20" s="12">
        <f>IF(H20="","",I19+H20)</f>
        <v/>
      </c>
      <c r="J20" s="12">
        <f>IF(I20="","",MIN(150100,MAX(J19,I20-4500)))</f>
        <v/>
      </c>
      <c r="K20" s="12">
        <f>IF(I20="","",I20-J20)</f>
        <v/>
      </c>
      <c r="L20" s="11" t="inlineStr">
        <is>
          <t>Crosses $159,000 → PASS ✓</t>
        </is>
      </c>
    </row>
    <row r="22">
      <c r="A22" s="13" t="inlineStr">
        <is>
          <t>HOW TO USE: each session, type your real net P&amp;L in the ACTUAL Net column. Actual Balance, Floor and Cushion update automatically.</t>
        </is>
      </c>
    </row>
    <row r="23">
      <c r="A23" s="14" t="inlineStr">
        <is>
          <t>WATCH: while Actual Floor &lt; $150,100 (before Day ~9) you are in the danger zone — a bad close can still breach. After it locks, only profit remains.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5" t="inlineStr">
        <is>
          <t>CONFIRMED LUCIDFLEX 150K EVAL RULES (from Lucid help docs, 2026-07-13)</t>
        </is>
      </c>
    </row>
    <row r="2">
      <c r="A2" s="16" t="inlineStr">
        <is>
          <t>Profit target</t>
        </is>
      </c>
      <c r="B2" s="17" t="inlineStr">
        <is>
          <t>$9,000  →  balance $159,000</t>
        </is>
      </c>
    </row>
    <row r="3">
      <c r="A3" s="16" t="inlineStr">
        <is>
          <t>Max Loss Limit</t>
        </is>
      </c>
      <c r="B3" s="17" t="inlineStr">
        <is>
          <t>$4,500 — END-OF-DAY TRAILING (floor = highest daily close − $4,500)</t>
        </is>
      </c>
    </row>
    <row r="4">
      <c r="A4" s="16" t="inlineStr">
        <is>
          <t>Floor lock</t>
        </is>
      </c>
      <c r="B4" s="17" t="inlineStr">
        <is>
          <t>Once a day closes ≥ $154,600, floor LOCKS permanently at $150,100</t>
        </is>
      </c>
    </row>
    <row r="5">
      <c r="A5" s="16" t="inlineStr">
        <is>
          <t>Consistency</t>
        </is>
      </c>
      <c r="B5" s="17" t="inlineStr">
        <is>
          <t>50% — largest single day ÷ total profit must be ≤ 50% (2-day pass allowed)</t>
        </is>
      </c>
    </row>
    <row r="6">
      <c r="A6" s="16" t="inlineStr">
        <is>
          <t>Daily loss limit</t>
        </is>
      </c>
      <c r="B6" s="17" t="inlineStr">
        <is>
          <t>NONE from firm — you enforce your own</t>
        </is>
      </c>
    </row>
    <row r="7">
      <c r="A7" s="16" t="inlineStr">
        <is>
          <t>Minimum trading days</t>
        </is>
      </c>
      <c r="B7" s="17" t="inlineStr">
        <is>
          <t>NONE — 'take as long as you need to pass', one-time fee, no rebilling</t>
        </is>
      </c>
    </row>
    <row r="8">
      <c r="A8" s="16" t="inlineStr">
        <is>
          <t>Max size (firm)</t>
        </is>
      </c>
      <c r="B8" s="17" t="inlineStr">
        <is>
          <t>10 mini / 100 micros</t>
        </is>
      </c>
    </row>
    <row r="9"/>
    <row r="10">
      <c r="A10" s="15" t="inlineStr">
        <is>
          <t>CURRENT STATE (2026-07-13)</t>
        </is>
      </c>
    </row>
    <row r="11">
      <c r="A11" s="16" t="inlineStr">
        <is>
          <t>Balance</t>
        </is>
      </c>
      <c r="B11" s="17" t="inlineStr">
        <is>
          <t>$148,932</t>
        </is>
      </c>
    </row>
    <row r="12">
      <c r="A12" s="16" t="inlineStr">
        <is>
          <t>P&amp;L</t>
        </is>
      </c>
      <c r="B12" s="17" t="inlineStr">
        <is>
          <t>−$1,067 / $9,000</t>
        </is>
      </c>
    </row>
    <row r="13">
      <c r="A13" s="16" t="inlineStr">
        <is>
          <t>MLL floor</t>
        </is>
      </c>
      <c r="B13" s="17" t="inlineStr">
        <is>
          <t>$145,500</t>
        </is>
      </c>
    </row>
    <row r="14">
      <c r="A14" s="16" t="inlineStr">
        <is>
          <t>Cushion to breach</t>
        </is>
      </c>
      <c r="B14" s="17" t="inlineStr">
        <is>
          <t>$3,432</t>
        </is>
      </c>
    </row>
    <row r="15">
      <c r="A15" s="16" t="inlineStr">
        <is>
          <t>Trading days</t>
        </is>
      </c>
      <c r="B15" s="17" t="inlineStr">
        <is>
          <t>2</t>
        </is>
      </c>
    </row>
    <row r="16">
      <c r="A16" s="16" t="inlineStr">
        <is>
          <t>Remaining to target</t>
        </is>
      </c>
      <c r="B16" s="17" t="inlineStr">
        <is>
          <t>≈ $10,067</t>
        </is>
      </c>
    </row>
    <row r="17"/>
    <row r="18">
      <c r="A18" s="15" t="inlineStr">
        <is>
          <t>SELF-IMPOSED RISK RULES (non-negotiable)</t>
        </is>
      </c>
    </row>
    <row r="19">
      <c r="A19" s="16" t="inlineStr">
        <is>
          <t>Daily goal</t>
        </is>
      </c>
      <c r="B19" s="17" t="inlineStr">
        <is>
          <t>+$500–700 net → then stop</t>
        </is>
      </c>
    </row>
    <row r="20">
      <c r="A20" s="16" t="inlineStr">
        <is>
          <t>Per-trade risk</t>
        </is>
      </c>
      <c r="B20" s="17" t="inlineStr">
        <is>
          <t>$150–200 (≈5 MNQ × 15pt, or 3 MNQ × 30pt)</t>
        </is>
      </c>
    </row>
    <row r="21">
      <c r="A21" s="16" t="inlineStr">
        <is>
          <t>Contract cap</t>
        </is>
      </c>
      <c r="B21" s="17" t="inlineStr">
        <is>
          <t>6 MNQ (firm allows 100 — irrelevant; 6 is the line)</t>
        </is>
      </c>
    </row>
    <row r="22">
      <c r="A22" s="16" t="inlineStr">
        <is>
          <t>Trades per day</t>
        </is>
      </c>
      <c r="B22" s="17" t="inlineStr">
        <is>
          <t>2 max</t>
        </is>
      </c>
    </row>
    <row r="23">
      <c r="A23" s="16" t="inlineStr">
        <is>
          <t>Daily loss stop</t>
        </is>
      </c>
      <c r="B23" s="17" t="inlineStr">
        <is>
          <t>−$300 → lock the platform, done for the day</t>
        </is>
      </c>
    </row>
    <row r="24">
      <c r="A24" s="16" t="inlineStr">
        <is>
          <t>Setup filter</t>
        </is>
      </c>
      <c r="B24" s="17" t="inlineStr">
        <is>
          <t>Only at marked levels: long 29,650 / 28,910; short 29,956–30,094. No level = no trade</t>
        </is>
      </c>
    </row>
    <row r="25">
      <c r="A25" s="16" t="inlineStr">
        <is>
          <t>Killer rule</t>
        </is>
      </c>
      <c r="B25" s="17" t="inlineStr">
        <is>
          <t>Urge to size past 6 MNQ = the signal to STOP, not to add</t>
        </is>
      </c>
    </row>
  </sheetData>
  <mergeCells count="3">
    <mergeCell ref="A18:B18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2026-07-13T08:50:27Z</dcterms:created>
  <dcterms:modified xmlns:dcterms="http://purl.org/dc/terms/" xmlns:xsi="http://www.w3.org/2001/XMLSchema-instance" xsi:type="dcterms:W3CDTF">2026-07-13T08:50:27Z</dcterms:modified>
</cp:coreProperties>
</file>